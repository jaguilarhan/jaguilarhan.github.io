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Alonso\IntelliJ_IDEA\work_manage_app\ASISTENCIA\"/>
    </mc:Choice>
  </mc:AlternateContent>
  <xr:revisionPtr revIDLastSave="0" documentId="13_ncr:1_{DA7C31F3-03CF-41C9-992E-4FD4FFBFF427}" xr6:coauthVersionLast="47" xr6:coauthVersionMax="47" xr10:uidLastSave="{00000000-0000-0000-0000-000000000000}"/>
  <bookViews>
    <workbookView xWindow="-108" yWindow="-108" windowWidth="23256" windowHeight="12456" xr2:uid="{179D56F5-C962-4FAD-9C63-606518C05AA4}"/>
  </bookViews>
  <sheets>
    <sheet name="PERSONAL OBRERO" sheetId="1" r:id="rId1"/>
  </sheets>
  <definedNames>
    <definedName name="_xlnm._FilterDatabase" localSheetId="0" hidden="1">'PERSONAL OBRERO'!$B$2:$B$45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8" i="1" l="1"/>
  <c r="F49" i="1"/>
  <c r="F47" i="1"/>
  <c r="K4" i="1"/>
</calcChain>
</file>

<file path=xl/sharedStrings.xml><?xml version="1.0" encoding="utf-8"?>
<sst xmlns="http://schemas.openxmlformats.org/spreadsheetml/2006/main" count="341" uniqueCount="170">
  <si>
    <t>LISTA DE PERSONAL OBRERO -LABORATORIO 2026</t>
  </si>
  <si>
    <t>Nº</t>
  </si>
  <si>
    <t>DNI Nº</t>
  </si>
  <si>
    <t>APELLIDO
PATERNO</t>
  </si>
  <si>
    <t>APELLIDO
MATERNO</t>
  </si>
  <si>
    <t>NOMBRES</t>
  </si>
  <si>
    <t>CATEGORÍA</t>
  </si>
  <si>
    <t>OCUPACIÓN</t>
  </si>
  <si>
    <t>FECHA DE INGRESO</t>
  </si>
  <si>
    <t>04438285</t>
  </si>
  <si>
    <t>OSNAYO</t>
  </si>
  <si>
    <t>MINAJA</t>
  </si>
  <si>
    <t>PERCY JOSE</t>
  </si>
  <si>
    <t>OPERARIO</t>
  </si>
  <si>
    <t>CAPATAZ</t>
  </si>
  <si>
    <t>03/02/2026</t>
  </si>
  <si>
    <t>04427469</t>
  </si>
  <si>
    <t>SALAZAR</t>
  </si>
  <si>
    <t>JUAREZ</t>
  </si>
  <si>
    <t>DUBERLY VICTOR</t>
  </si>
  <si>
    <t>CARPINTERO</t>
  </si>
  <si>
    <t>41890406</t>
  </si>
  <si>
    <t>CAMA</t>
  </si>
  <si>
    <t>CURASI</t>
  </si>
  <si>
    <t>GALO CESAR</t>
  </si>
  <si>
    <t>41487259</t>
  </si>
  <si>
    <t>MUSAJA</t>
  </si>
  <si>
    <t>PEREZ</t>
  </si>
  <si>
    <t>FLORENCIO</t>
  </si>
  <si>
    <t>ALBAÑIL</t>
  </si>
  <si>
    <t>04426985</t>
  </si>
  <si>
    <t>MAMANI</t>
  </si>
  <si>
    <t>CHECANI</t>
  </si>
  <si>
    <t>DELFIN</t>
  </si>
  <si>
    <t>OFICIAL</t>
  </si>
  <si>
    <t>46591524</t>
  </si>
  <si>
    <t xml:space="preserve">BARRERA </t>
  </si>
  <si>
    <t>RAMOS</t>
  </si>
  <si>
    <t>IVAN</t>
  </si>
  <si>
    <t>04404023</t>
  </si>
  <si>
    <t>SANTOS</t>
  </si>
  <si>
    <t>GUTIERREZ</t>
  </si>
  <si>
    <t>TERESA JESUS</t>
  </si>
  <si>
    <t>PEON</t>
  </si>
  <si>
    <t>40074829</t>
  </si>
  <si>
    <t>MARCA</t>
  </si>
  <si>
    <t>CATARE</t>
  </si>
  <si>
    <t>PEDRO CIRILO</t>
  </si>
  <si>
    <t>40208445</t>
  </si>
  <si>
    <t>CORI</t>
  </si>
  <si>
    <t>ANIBAL MATEO</t>
  </si>
  <si>
    <t>FIERRERO</t>
  </si>
  <si>
    <t>40087835</t>
  </si>
  <si>
    <t>PONCE</t>
  </si>
  <si>
    <t xml:space="preserve">ALEJANDRO </t>
  </si>
  <si>
    <t xml:space="preserve">ALBAÑIL </t>
  </si>
  <si>
    <t>04426955</t>
  </si>
  <si>
    <t>PAYE</t>
  </si>
  <si>
    <t>EDUARDO FAUSTO</t>
  </si>
  <si>
    <t>42781545</t>
  </si>
  <si>
    <t xml:space="preserve">CONDORI </t>
  </si>
  <si>
    <t>HUANACUNI</t>
  </si>
  <si>
    <t xml:space="preserve"> SANTIAGO </t>
  </si>
  <si>
    <t>04745598</t>
  </si>
  <si>
    <t>COLANA</t>
  </si>
  <si>
    <t>APAZA</t>
  </si>
  <si>
    <t>ANGEL JUAN</t>
  </si>
  <si>
    <t>QUISPE</t>
  </si>
  <si>
    <t>QUISO</t>
  </si>
  <si>
    <t>ABRAHAM</t>
  </si>
  <si>
    <t>71029856</t>
  </si>
  <si>
    <t>CUTIPA</t>
  </si>
  <si>
    <t xml:space="preserve">CRISTIAN LUIS </t>
  </si>
  <si>
    <t>04653500</t>
  </si>
  <si>
    <t>CASTRO</t>
  </si>
  <si>
    <t>MURRIEL</t>
  </si>
  <si>
    <t>ROSALINY ARMINDA</t>
  </si>
  <si>
    <t>44754393</t>
  </si>
  <si>
    <t>ORTEGA</t>
  </si>
  <si>
    <t>CHURA</t>
  </si>
  <si>
    <t>JOHN NILTON</t>
  </si>
  <si>
    <t>72231284</t>
  </si>
  <si>
    <t>FERNANDEZ</t>
  </si>
  <si>
    <t>STHIF BRANDON</t>
  </si>
  <si>
    <t>GASFITERO</t>
  </si>
  <si>
    <t>04411815</t>
  </si>
  <si>
    <t>VIZCARRA</t>
  </si>
  <si>
    <t>TITO</t>
  </si>
  <si>
    <t>JULIAN ERMINIO</t>
  </si>
  <si>
    <t>42195924</t>
  </si>
  <si>
    <t>PARIPANCA</t>
  </si>
  <si>
    <t>PARE</t>
  </si>
  <si>
    <t>SANTOS WENCESLAO</t>
  </si>
  <si>
    <t>LIMA</t>
  </si>
  <si>
    <t>CHAMPI</t>
  </si>
  <si>
    <t>MELCHOR</t>
  </si>
  <si>
    <t>04422073</t>
  </si>
  <si>
    <t>ASCENCIO</t>
  </si>
  <si>
    <t>GERMAN FREDI</t>
  </si>
  <si>
    <t>04430128</t>
  </si>
  <si>
    <t>CONTRERAS</t>
  </si>
  <si>
    <t>CCASO</t>
  </si>
  <si>
    <t>FELICIANO</t>
  </si>
  <si>
    <t>MAMANCHURA</t>
  </si>
  <si>
    <t>MARCIA GABINA</t>
  </si>
  <si>
    <t>60063989</t>
  </si>
  <si>
    <t xml:space="preserve">CRUZ </t>
  </si>
  <si>
    <t>FALCON</t>
  </si>
  <si>
    <t>BRAYAN OSCAR</t>
  </si>
  <si>
    <t>44873812</t>
  </si>
  <si>
    <t>HUARACHE</t>
  </si>
  <si>
    <t>RIOS</t>
  </si>
  <si>
    <t>JULIO CESAR</t>
  </si>
  <si>
    <t>PREVENCIONISTA</t>
  </si>
  <si>
    <t>46926504</t>
  </si>
  <si>
    <t xml:space="preserve"> EDSON JAVIER</t>
  </si>
  <si>
    <t>01314118</t>
  </si>
  <si>
    <t>CALLISANA</t>
  </si>
  <si>
    <t>YOLANDA</t>
  </si>
  <si>
    <t>04745520</t>
  </si>
  <si>
    <t>LINARES</t>
  </si>
  <si>
    <t>ZACARIAS NICOMEDES</t>
  </si>
  <si>
    <t>04/02/2026</t>
  </si>
  <si>
    <t>46242299</t>
  </si>
  <si>
    <t>CUAYLA</t>
  </si>
  <si>
    <t>HUACHO</t>
  </si>
  <si>
    <t>RUSBEL JHON</t>
  </si>
  <si>
    <t>44551286</t>
  </si>
  <si>
    <t>GOMEZ</t>
  </si>
  <si>
    <t>DOMINGO JAVIER</t>
  </si>
  <si>
    <t>05/02/2026</t>
  </si>
  <si>
    <t>40590394</t>
  </si>
  <si>
    <t>ALTAMIRANO</t>
  </si>
  <si>
    <t>FRANYO MAURICIO</t>
  </si>
  <si>
    <t>MARON</t>
  </si>
  <si>
    <t>ERLI SAUL</t>
  </si>
  <si>
    <t>46488431</t>
  </si>
  <si>
    <t>ALAN SANTOS</t>
  </si>
  <si>
    <t>09/02/2026</t>
  </si>
  <si>
    <t>04406810</t>
  </si>
  <si>
    <t>CALLA</t>
  </si>
  <si>
    <t>CALIXTO MARCIAL</t>
  </si>
  <si>
    <t>04437357</t>
  </si>
  <si>
    <t>CAPA</t>
  </si>
  <si>
    <t>RENE EDUARDO</t>
  </si>
  <si>
    <t>42523690</t>
  </si>
  <si>
    <t>TICONA</t>
  </si>
  <si>
    <t>BETO ABMMER</t>
  </si>
  <si>
    <t>43246075</t>
  </si>
  <si>
    <t>NANCY MABEL</t>
  </si>
  <si>
    <t>GUARDIAN</t>
  </si>
  <si>
    <t>01/03/2026</t>
  </si>
  <si>
    <t>04424929</t>
  </si>
  <si>
    <t>DE LA CRUZ</t>
  </si>
  <si>
    <t>MELGAREJO</t>
  </si>
  <si>
    <t>NARCISO</t>
  </si>
  <si>
    <t>04427029</t>
  </si>
  <si>
    <t>PRESCILIANA</t>
  </si>
  <si>
    <t>77014387</t>
  </si>
  <si>
    <t>ESPINOZA</t>
  </si>
  <si>
    <t>CATACORA</t>
  </si>
  <si>
    <t>GABRIEL</t>
  </si>
  <si>
    <t>ELECTRICO</t>
  </si>
  <si>
    <t>P</t>
  </si>
  <si>
    <t>ROMERO</t>
  </si>
  <si>
    <t>CACALLICA</t>
  </si>
  <si>
    <t>JEAMPIER NEPTALI</t>
  </si>
  <si>
    <t>S</t>
  </si>
  <si>
    <t>F</t>
  </si>
  <si>
    <t>AUXILIAR DE 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</si>
</sst>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14" fontId="0" fillId="0" borderId="0" xfId="0" applyNumberForma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0C48-4C58-4A50-BBD8-329D4614A1F4}">
  <sheetPr>
    <tabColor rgb="FFFF99CC"/>
  </sheetPr>
  <dimension ref="A2:K49"/>
  <sheetViews>
    <sheetView tabSelected="1" topLeftCell="A4" workbookViewId="0">
      <selection activeCell="G24" sqref="G24"/>
    </sheetView>
  </sheetViews>
  <sheetFormatPr baseColWidth="10" defaultRowHeight="14.4" x14ac:dyDescent="0.3"/>
  <cols>
    <col min="1" max="1" width="5.44140625" customWidth="1"/>
    <col min="2" max="2" width="12.109375" customWidth="1"/>
    <col min="3" max="4" width="19.5546875" customWidth="1"/>
    <col min="5" max="5" width="21.33203125" customWidth="1"/>
    <col min="6" max="6" width="14.88671875" customWidth="1"/>
    <col min="7" max="7" width="21.109375" customWidth="1"/>
    <col min="8" max="8" width="18.88671875" customWidth="1"/>
  </cols>
  <sheetData>
    <row r="2" spans="1:11" ht="21" x14ac:dyDescent="0.4">
      <c r="A2" s="7" t="s">
        <v>0</v>
      </c>
      <c r="B2" s="7"/>
      <c r="C2" s="7"/>
      <c r="D2" s="7"/>
      <c r="E2" s="7"/>
      <c r="F2" s="7"/>
      <c r="G2" s="7"/>
      <c r="H2" s="7"/>
    </row>
    <row r="3" spans="1:1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6">
        <v>46118</v>
      </c>
    </row>
    <row r="4" spans="1:11" x14ac:dyDescent="0.3">
      <c r="A4" s="2">
        <v>1</v>
      </c>
      <c r="B4" s="2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4" t="s">
        <v>15</v>
      </c>
      <c r="I4" s="5" t="s">
        <v>163</v>
      </c>
      <c r="K4">
        <f>COUNTIF(F4:F45, "OPERARIO")</f>
        <v>18</v>
      </c>
    </row>
    <row r="5" spans="1:11" x14ac:dyDescent="0.3">
      <c r="A5" s="2">
        <v>2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13</v>
      </c>
      <c r="G5" s="3" t="s">
        <v>20</v>
      </c>
      <c r="H5" s="4" t="s">
        <v>15</v>
      </c>
      <c r="I5" s="5" t="s">
        <v>163</v>
      </c>
    </row>
    <row r="6" spans="1:11" x14ac:dyDescent="0.3">
      <c r="A6" s="2">
        <v>3</v>
      </c>
      <c r="B6" s="2" t="s">
        <v>21</v>
      </c>
      <c r="C6" s="3" t="s">
        <v>22</v>
      </c>
      <c r="D6" s="3" t="s">
        <v>23</v>
      </c>
      <c r="E6" s="3" t="s">
        <v>24</v>
      </c>
      <c r="F6" s="3" t="s">
        <v>13</v>
      </c>
      <c r="G6" s="3" t="s">
        <v>20</v>
      </c>
      <c r="H6" s="4" t="s">
        <v>15</v>
      </c>
      <c r="I6" s="5" t="s">
        <v>163</v>
      </c>
    </row>
    <row r="7" spans="1:11" x14ac:dyDescent="0.3">
      <c r="A7" s="2">
        <v>4</v>
      </c>
      <c r="B7" s="2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29</v>
      </c>
      <c r="H7" s="4" t="s">
        <v>15</v>
      </c>
      <c r="I7" s="5" t="s">
        <v>163</v>
      </c>
    </row>
    <row r="8" spans="1:11" x14ac:dyDescent="0.3">
      <c r="A8" s="2">
        <v>5</v>
      </c>
      <c r="B8" s="2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29</v>
      </c>
      <c r="H8" s="4" t="s">
        <v>15</v>
      </c>
      <c r="I8" s="5" t="s">
        <v>163</v>
      </c>
    </row>
    <row r="9" spans="1:11" x14ac:dyDescent="0.3">
      <c r="A9" s="2">
        <v>6</v>
      </c>
      <c r="B9" s="2" t="s">
        <v>35</v>
      </c>
      <c r="C9" s="3" t="s">
        <v>36</v>
      </c>
      <c r="D9" s="3" t="s">
        <v>37</v>
      </c>
      <c r="E9" s="3" t="s">
        <v>38</v>
      </c>
      <c r="F9" s="3" t="s">
        <v>13</v>
      </c>
      <c r="G9" s="3" t="s">
        <v>20</v>
      </c>
      <c r="H9" s="4" t="s">
        <v>15</v>
      </c>
      <c r="I9" s="5" t="s">
        <v>163</v>
      </c>
    </row>
    <row r="10" spans="1:11" x14ac:dyDescent="0.3">
      <c r="A10" s="2">
        <v>7</v>
      </c>
      <c r="B10" s="2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43</v>
      </c>
      <c r="H10" s="4" t="s">
        <v>15</v>
      </c>
      <c r="I10" s="5" t="s">
        <v>163</v>
      </c>
    </row>
    <row r="11" spans="1:11" x14ac:dyDescent="0.3">
      <c r="A11" s="2">
        <v>8</v>
      </c>
      <c r="B11" s="2" t="s">
        <v>44</v>
      </c>
      <c r="C11" s="3" t="s">
        <v>45</v>
      </c>
      <c r="D11" s="3" t="s">
        <v>46</v>
      </c>
      <c r="E11" s="3" t="s">
        <v>47</v>
      </c>
      <c r="F11" s="3" t="s">
        <v>13</v>
      </c>
      <c r="G11" s="3" t="s">
        <v>20</v>
      </c>
      <c r="H11" s="4" t="s">
        <v>15</v>
      </c>
      <c r="I11" s="5" t="s">
        <v>163</v>
      </c>
    </row>
    <row r="12" spans="1:11" x14ac:dyDescent="0.3">
      <c r="A12" s="2">
        <v>9</v>
      </c>
      <c r="B12" s="2" t="s">
        <v>48</v>
      </c>
      <c r="C12" s="3" t="s">
        <v>31</v>
      </c>
      <c r="D12" s="3" t="s">
        <v>49</v>
      </c>
      <c r="E12" s="3" t="s">
        <v>50</v>
      </c>
      <c r="F12" s="3" t="s">
        <v>13</v>
      </c>
      <c r="G12" s="3" t="s">
        <v>51</v>
      </c>
      <c r="H12" s="4" t="s">
        <v>15</v>
      </c>
      <c r="I12" s="5" t="s">
        <v>163</v>
      </c>
    </row>
    <row r="13" spans="1:11" x14ac:dyDescent="0.3">
      <c r="A13" s="2">
        <v>10</v>
      </c>
      <c r="B13" s="2" t="s">
        <v>52</v>
      </c>
      <c r="C13" s="3" t="s">
        <v>53</v>
      </c>
      <c r="D13" s="3" t="s">
        <v>31</v>
      </c>
      <c r="E13" s="3" t="s">
        <v>54</v>
      </c>
      <c r="F13" s="3" t="s">
        <v>13</v>
      </c>
      <c r="G13" s="3" t="s">
        <v>55</v>
      </c>
      <c r="H13" s="4" t="s">
        <v>15</v>
      </c>
      <c r="I13" s="5" t="s">
        <v>163</v>
      </c>
    </row>
    <row r="14" spans="1:11" x14ac:dyDescent="0.3">
      <c r="A14" s="2">
        <v>11</v>
      </c>
      <c r="B14" s="2" t="s">
        <v>56</v>
      </c>
      <c r="C14" s="3" t="s">
        <v>37</v>
      </c>
      <c r="D14" s="3" t="s">
        <v>57</v>
      </c>
      <c r="E14" s="3" t="s">
        <v>58</v>
      </c>
      <c r="F14" s="3" t="s">
        <v>13</v>
      </c>
      <c r="G14" s="3" t="s">
        <v>29</v>
      </c>
      <c r="H14" s="4" t="s">
        <v>15</v>
      </c>
      <c r="I14" s="5" t="s">
        <v>163</v>
      </c>
    </row>
    <row r="15" spans="1:11" x14ac:dyDescent="0.3">
      <c r="A15" s="2">
        <v>12</v>
      </c>
      <c r="B15" s="2" t="s">
        <v>59</v>
      </c>
      <c r="C15" s="3" t="s">
        <v>60</v>
      </c>
      <c r="D15" s="3" t="s">
        <v>61</v>
      </c>
      <c r="E15" s="3" t="s">
        <v>62</v>
      </c>
      <c r="F15" s="3" t="s">
        <v>34</v>
      </c>
      <c r="G15" s="3" t="s">
        <v>20</v>
      </c>
      <c r="H15" s="4" t="s">
        <v>15</v>
      </c>
      <c r="I15" s="5" t="s">
        <v>163</v>
      </c>
    </row>
    <row r="16" spans="1:11" x14ac:dyDescent="0.3">
      <c r="A16" s="2">
        <v>13</v>
      </c>
      <c r="B16" s="2" t="s">
        <v>63</v>
      </c>
      <c r="C16" s="3" t="s">
        <v>64</v>
      </c>
      <c r="D16" s="3" t="s">
        <v>65</v>
      </c>
      <c r="E16" s="3" t="s">
        <v>66</v>
      </c>
      <c r="F16" s="3" t="s">
        <v>34</v>
      </c>
      <c r="G16" s="3" t="s">
        <v>51</v>
      </c>
      <c r="H16" s="4" t="s">
        <v>15</v>
      </c>
      <c r="I16" s="5" t="s">
        <v>163</v>
      </c>
    </row>
    <row r="17" spans="1:9" x14ac:dyDescent="0.3">
      <c r="A17" s="2">
        <v>14</v>
      </c>
      <c r="B17" s="2">
        <v>75322968</v>
      </c>
      <c r="C17" s="3" t="s">
        <v>67</v>
      </c>
      <c r="D17" s="3" t="s">
        <v>68</v>
      </c>
      <c r="E17" s="3" t="s">
        <v>69</v>
      </c>
      <c r="F17" s="3" t="s">
        <v>34</v>
      </c>
      <c r="G17" s="3" t="s">
        <v>51</v>
      </c>
      <c r="H17" s="4" t="s">
        <v>15</v>
      </c>
      <c r="I17" s="5" t="s">
        <v>163</v>
      </c>
    </row>
    <row r="18" spans="1:9" x14ac:dyDescent="0.3">
      <c r="A18" s="2">
        <v>15</v>
      </c>
      <c r="B18" s="2" t="s">
        <v>70</v>
      </c>
      <c r="C18" s="3" t="s">
        <v>37</v>
      </c>
      <c r="D18" s="3" t="s">
        <v>71</v>
      </c>
      <c r="E18" s="3" t="s">
        <v>72</v>
      </c>
      <c r="F18" s="3" t="s">
        <v>43</v>
      </c>
      <c r="G18" s="3" t="s">
        <v>43</v>
      </c>
      <c r="H18" s="4" t="s">
        <v>15</v>
      </c>
      <c r="I18" s="5" t="s">
        <v>163</v>
      </c>
    </row>
    <row r="19" spans="1:9" x14ac:dyDescent="0.3">
      <c r="A19" s="2">
        <v>16</v>
      </c>
      <c r="B19" s="2" t="s">
        <v>73</v>
      </c>
      <c r="C19" s="3" t="s">
        <v>74</v>
      </c>
      <c r="D19" s="3" t="s">
        <v>75</v>
      </c>
      <c r="E19" s="3" t="s">
        <v>76</v>
      </c>
      <c r="F19" s="3" t="s">
        <v>34</v>
      </c>
      <c r="G19" s="3" t="s">
        <v>169</v>
      </c>
      <c r="H19" s="4" t="s">
        <v>15</v>
      </c>
      <c r="I19" s="5" t="s">
        <v>163</v>
      </c>
    </row>
    <row r="20" spans="1:9" x14ac:dyDescent="0.3">
      <c r="A20" s="2">
        <v>17</v>
      </c>
      <c r="B20" s="2" t="s">
        <v>77</v>
      </c>
      <c r="C20" s="3" t="s">
        <v>78</v>
      </c>
      <c r="D20" s="3" t="s">
        <v>79</v>
      </c>
      <c r="E20" s="3" t="s">
        <v>80</v>
      </c>
      <c r="F20" s="3" t="s">
        <v>13</v>
      </c>
      <c r="G20" s="3" t="s">
        <v>29</v>
      </c>
      <c r="H20" s="4" t="s">
        <v>15</v>
      </c>
      <c r="I20" s="5" t="s">
        <v>163</v>
      </c>
    </row>
    <row r="21" spans="1:9" x14ac:dyDescent="0.3">
      <c r="A21" s="2">
        <v>18</v>
      </c>
      <c r="B21" s="2" t="s">
        <v>81</v>
      </c>
      <c r="C21" s="3" t="s">
        <v>10</v>
      </c>
      <c r="D21" s="3" t="s">
        <v>82</v>
      </c>
      <c r="E21" s="3" t="s">
        <v>83</v>
      </c>
      <c r="F21" s="3" t="s">
        <v>34</v>
      </c>
      <c r="G21" s="3" t="s">
        <v>84</v>
      </c>
      <c r="H21" s="4" t="s">
        <v>15</v>
      </c>
      <c r="I21" s="5" t="s">
        <v>163</v>
      </c>
    </row>
    <row r="22" spans="1:9" x14ac:dyDescent="0.3">
      <c r="A22" s="2">
        <v>19</v>
      </c>
      <c r="B22" s="2" t="s">
        <v>85</v>
      </c>
      <c r="C22" s="3" t="s">
        <v>86</v>
      </c>
      <c r="D22" s="3" t="s">
        <v>87</v>
      </c>
      <c r="E22" s="3" t="s">
        <v>88</v>
      </c>
      <c r="F22" s="3" t="s">
        <v>13</v>
      </c>
      <c r="G22" s="3" t="s">
        <v>29</v>
      </c>
      <c r="H22" s="4" t="s">
        <v>15</v>
      </c>
      <c r="I22" s="5" t="s">
        <v>163</v>
      </c>
    </row>
    <row r="23" spans="1:9" x14ac:dyDescent="0.3">
      <c r="A23" s="2">
        <v>20</v>
      </c>
      <c r="B23" s="2" t="s">
        <v>89</v>
      </c>
      <c r="C23" s="3" t="s">
        <v>90</v>
      </c>
      <c r="D23" s="3" t="s">
        <v>91</v>
      </c>
      <c r="E23" s="3" t="s">
        <v>92</v>
      </c>
      <c r="F23" s="3" t="s">
        <v>34</v>
      </c>
      <c r="G23" s="3" t="s">
        <v>20</v>
      </c>
      <c r="H23" s="4" t="s">
        <v>15</v>
      </c>
      <c r="I23" s="5" t="s">
        <v>163</v>
      </c>
    </row>
    <row r="24" spans="1:9" x14ac:dyDescent="0.3">
      <c r="A24" s="2">
        <v>21</v>
      </c>
      <c r="B24" s="2">
        <v>24680359</v>
      </c>
      <c r="C24" s="3" t="s">
        <v>93</v>
      </c>
      <c r="D24" s="3" t="s">
        <v>94</v>
      </c>
      <c r="E24" s="3" t="s">
        <v>95</v>
      </c>
      <c r="F24" s="3" t="s">
        <v>34</v>
      </c>
      <c r="G24" s="3" t="s">
        <v>29</v>
      </c>
      <c r="H24" s="4" t="s">
        <v>15</v>
      </c>
      <c r="I24" s="5" t="s">
        <v>163</v>
      </c>
    </row>
    <row r="25" spans="1:9" x14ac:dyDescent="0.3">
      <c r="A25" s="2">
        <v>22</v>
      </c>
      <c r="B25" s="2" t="s">
        <v>96</v>
      </c>
      <c r="C25" s="3" t="s">
        <v>97</v>
      </c>
      <c r="D25" s="3" t="s">
        <v>67</v>
      </c>
      <c r="E25" s="3" t="s">
        <v>98</v>
      </c>
      <c r="F25" s="3" t="s">
        <v>43</v>
      </c>
      <c r="G25" s="3" t="s">
        <v>43</v>
      </c>
      <c r="H25" s="4" t="s">
        <v>15</v>
      </c>
      <c r="I25" s="5" t="s">
        <v>163</v>
      </c>
    </row>
    <row r="26" spans="1:9" x14ac:dyDescent="0.3">
      <c r="A26" s="2">
        <v>23</v>
      </c>
      <c r="B26" s="2" t="s">
        <v>99</v>
      </c>
      <c r="C26" s="3" t="s">
        <v>100</v>
      </c>
      <c r="D26" s="3" t="s">
        <v>101</v>
      </c>
      <c r="E26" s="3" t="s">
        <v>102</v>
      </c>
      <c r="F26" s="3" t="s">
        <v>13</v>
      </c>
      <c r="G26" s="3" t="s">
        <v>29</v>
      </c>
      <c r="H26" s="4" t="s">
        <v>15</v>
      </c>
      <c r="I26" s="5" t="s">
        <v>163</v>
      </c>
    </row>
    <row r="27" spans="1:9" x14ac:dyDescent="0.3">
      <c r="A27" s="2">
        <v>24</v>
      </c>
      <c r="B27" s="2">
        <v>44830919</v>
      </c>
      <c r="C27" s="3" t="s">
        <v>103</v>
      </c>
      <c r="D27" s="3" t="s">
        <v>67</v>
      </c>
      <c r="E27" s="3" t="s">
        <v>104</v>
      </c>
      <c r="F27" s="3" t="s">
        <v>43</v>
      </c>
      <c r="G27" s="3" t="s">
        <v>43</v>
      </c>
      <c r="H27" s="4" t="s">
        <v>15</v>
      </c>
      <c r="I27" s="5" t="s">
        <v>163</v>
      </c>
    </row>
    <row r="28" spans="1:9" x14ac:dyDescent="0.3">
      <c r="A28" s="2">
        <v>25</v>
      </c>
      <c r="B28" s="2" t="s">
        <v>105</v>
      </c>
      <c r="C28" s="3" t="s">
        <v>106</v>
      </c>
      <c r="D28" s="3" t="s">
        <v>107</v>
      </c>
      <c r="E28" s="3" t="s">
        <v>108</v>
      </c>
      <c r="F28" s="3" t="s">
        <v>43</v>
      </c>
      <c r="G28" s="3" t="s">
        <v>43</v>
      </c>
      <c r="H28" s="4" t="s">
        <v>15</v>
      </c>
      <c r="I28" s="5" t="s">
        <v>163</v>
      </c>
    </row>
    <row r="29" spans="1:9" x14ac:dyDescent="0.3">
      <c r="A29" s="2">
        <v>26</v>
      </c>
      <c r="B29" s="2" t="s">
        <v>109</v>
      </c>
      <c r="C29" s="3" t="s">
        <v>110</v>
      </c>
      <c r="D29" s="3" t="s">
        <v>111</v>
      </c>
      <c r="E29" s="3" t="s">
        <v>112</v>
      </c>
      <c r="F29" s="3" t="s">
        <v>34</v>
      </c>
      <c r="G29" s="3" t="s">
        <v>113</v>
      </c>
      <c r="H29" s="4" t="s">
        <v>15</v>
      </c>
      <c r="I29" s="5" t="s">
        <v>163</v>
      </c>
    </row>
    <row r="30" spans="1:9" x14ac:dyDescent="0.3">
      <c r="A30" s="2">
        <v>27</v>
      </c>
      <c r="B30" s="2" t="s">
        <v>114</v>
      </c>
      <c r="C30" s="3" t="s">
        <v>37</v>
      </c>
      <c r="D30" s="3" t="s">
        <v>67</v>
      </c>
      <c r="E30" s="3" t="s">
        <v>115</v>
      </c>
      <c r="F30" s="3" t="s">
        <v>34</v>
      </c>
      <c r="G30" s="3" t="s">
        <v>20</v>
      </c>
      <c r="H30" s="4" t="s">
        <v>15</v>
      </c>
      <c r="I30" s="5" t="s">
        <v>163</v>
      </c>
    </row>
    <row r="31" spans="1:9" x14ac:dyDescent="0.3">
      <c r="A31" s="2">
        <v>28</v>
      </c>
      <c r="B31" s="2" t="s">
        <v>116</v>
      </c>
      <c r="C31" s="3" t="s">
        <v>117</v>
      </c>
      <c r="D31" s="3" t="s">
        <v>31</v>
      </c>
      <c r="E31" s="3" t="s">
        <v>118</v>
      </c>
      <c r="F31" s="3" t="s">
        <v>43</v>
      </c>
      <c r="G31" s="3" t="s">
        <v>43</v>
      </c>
      <c r="H31" s="4" t="s">
        <v>15</v>
      </c>
      <c r="I31" s="5" t="s">
        <v>163</v>
      </c>
    </row>
    <row r="32" spans="1:9" x14ac:dyDescent="0.3">
      <c r="A32" s="2">
        <v>29</v>
      </c>
      <c r="B32" s="2" t="s">
        <v>119</v>
      </c>
      <c r="C32" s="3" t="s">
        <v>45</v>
      </c>
      <c r="D32" s="3" t="s">
        <v>120</v>
      </c>
      <c r="E32" s="3" t="s">
        <v>121</v>
      </c>
      <c r="F32" s="3" t="s">
        <v>43</v>
      </c>
      <c r="G32" s="3" t="s">
        <v>43</v>
      </c>
      <c r="H32" s="4" t="s">
        <v>122</v>
      </c>
      <c r="I32" s="5" t="s">
        <v>163</v>
      </c>
    </row>
    <row r="33" spans="1:9" x14ac:dyDescent="0.3">
      <c r="A33" s="2">
        <v>30</v>
      </c>
      <c r="B33" s="2">
        <v>72719771</v>
      </c>
      <c r="C33" s="3" t="s">
        <v>164</v>
      </c>
      <c r="D33" s="3" t="s">
        <v>165</v>
      </c>
      <c r="E33" s="3" t="s">
        <v>166</v>
      </c>
      <c r="F33" s="3" t="s">
        <v>13</v>
      </c>
      <c r="G33" s="3" t="s">
        <v>51</v>
      </c>
      <c r="H33" s="4" t="s">
        <v>15</v>
      </c>
      <c r="I33" s="5" t="s">
        <v>167</v>
      </c>
    </row>
    <row r="34" spans="1:9" x14ac:dyDescent="0.3">
      <c r="A34" s="2">
        <v>31</v>
      </c>
      <c r="B34" s="2" t="s">
        <v>123</v>
      </c>
      <c r="C34" s="3" t="s">
        <v>124</v>
      </c>
      <c r="D34" s="3" t="s">
        <v>125</v>
      </c>
      <c r="E34" s="3" t="s">
        <v>126</v>
      </c>
      <c r="F34" s="3" t="s">
        <v>13</v>
      </c>
      <c r="G34" s="3" t="s">
        <v>20</v>
      </c>
      <c r="H34" s="4" t="s">
        <v>122</v>
      </c>
      <c r="I34" s="5" t="s">
        <v>163</v>
      </c>
    </row>
    <row r="35" spans="1:9" x14ac:dyDescent="0.3">
      <c r="A35" s="2">
        <v>32</v>
      </c>
      <c r="B35" s="2" t="s">
        <v>127</v>
      </c>
      <c r="C35" s="3" t="s">
        <v>37</v>
      </c>
      <c r="D35" s="3" t="s">
        <v>128</v>
      </c>
      <c r="E35" s="3" t="s">
        <v>129</v>
      </c>
      <c r="F35" s="3" t="s">
        <v>13</v>
      </c>
      <c r="G35" s="3" t="s">
        <v>20</v>
      </c>
      <c r="H35" s="4" t="s">
        <v>130</v>
      </c>
      <c r="I35" s="5" t="s">
        <v>163</v>
      </c>
    </row>
    <row r="36" spans="1:9" x14ac:dyDescent="0.3">
      <c r="A36" s="2">
        <v>33</v>
      </c>
      <c r="B36" s="2" t="s">
        <v>131</v>
      </c>
      <c r="C36" s="3" t="s">
        <v>111</v>
      </c>
      <c r="D36" s="3" t="s">
        <v>132</v>
      </c>
      <c r="E36" s="3" t="s">
        <v>133</v>
      </c>
      <c r="F36" s="3" t="s">
        <v>34</v>
      </c>
      <c r="G36" s="3" t="s">
        <v>29</v>
      </c>
      <c r="H36" s="4" t="s">
        <v>130</v>
      </c>
      <c r="I36" s="5" t="s">
        <v>168</v>
      </c>
    </row>
    <row r="37" spans="1:9" x14ac:dyDescent="0.3">
      <c r="A37" s="2">
        <v>34</v>
      </c>
      <c r="B37" s="2">
        <v>43507814</v>
      </c>
      <c r="C37" s="3" t="s">
        <v>65</v>
      </c>
      <c r="D37" s="3" t="s">
        <v>134</v>
      </c>
      <c r="E37" s="3" t="s">
        <v>135</v>
      </c>
      <c r="F37" s="3" t="s">
        <v>13</v>
      </c>
      <c r="G37" s="3" t="s">
        <v>51</v>
      </c>
      <c r="H37" s="4" t="s">
        <v>130</v>
      </c>
      <c r="I37" s="5" t="s">
        <v>163</v>
      </c>
    </row>
    <row r="38" spans="1:9" x14ac:dyDescent="0.3">
      <c r="A38" s="2">
        <v>35</v>
      </c>
      <c r="B38" s="2" t="s">
        <v>136</v>
      </c>
      <c r="C38" s="3" t="s">
        <v>37</v>
      </c>
      <c r="D38" s="3" t="s">
        <v>128</v>
      </c>
      <c r="E38" s="3" t="s">
        <v>137</v>
      </c>
      <c r="F38" s="3" t="s">
        <v>34</v>
      </c>
      <c r="G38" s="3" t="s">
        <v>20</v>
      </c>
      <c r="H38" s="4" t="s">
        <v>138</v>
      </c>
      <c r="I38" s="5" t="s">
        <v>163</v>
      </c>
    </row>
    <row r="39" spans="1:9" x14ac:dyDescent="0.3">
      <c r="A39" s="2">
        <v>36</v>
      </c>
      <c r="B39" s="2" t="s">
        <v>139</v>
      </c>
      <c r="C39" s="3" t="s">
        <v>31</v>
      </c>
      <c r="D39" s="3" t="s">
        <v>140</v>
      </c>
      <c r="E39" s="3" t="s">
        <v>141</v>
      </c>
      <c r="F39" s="3" t="s">
        <v>34</v>
      </c>
      <c r="G39" s="3" t="s">
        <v>29</v>
      </c>
      <c r="H39" s="4" t="s">
        <v>138</v>
      </c>
      <c r="I39" s="5" t="s">
        <v>163</v>
      </c>
    </row>
    <row r="40" spans="1:9" x14ac:dyDescent="0.3">
      <c r="A40" s="2">
        <v>37</v>
      </c>
      <c r="B40" s="2" t="s">
        <v>142</v>
      </c>
      <c r="C40" s="3" t="s">
        <v>143</v>
      </c>
      <c r="D40" s="3" t="s">
        <v>37</v>
      </c>
      <c r="E40" s="3" t="s">
        <v>144</v>
      </c>
      <c r="F40" s="3" t="s">
        <v>13</v>
      </c>
      <c r="G40" s="3" t="s">
        <v>51</v>
      </c>
      <c r="H40" s="4" t="s">
        <v>138</v>
      </c>
      <c r="I40" s="5" t="s">
        <v>163</v>
      </c>
    </row>
    <row r="41" spans="1:9" x14ac:dyDescent="0.3">
      <c r="A41" s="2">
        <v>38</v>
      </c>
      <c r="B41" s="2" t="s">
        <v>145</v>
      </c>
      <c r="C41" s="3" t="s">
        <v>146</v>
      </c>
      <c r="D41" s="3" t="s">
        <v>31</v>
      </c>
      <c r="E41" s="3" t="s">
        <v>147</v>
      </c>
      <c r="F41" s="3" t="s">
        <v>34</v>
      </c>
      <c r="G41" s="3" t="s">
        <v>51</v>
      </c>
      <c r="H41" s="4">
        <v>46069</v>
      </c>
      <c r="I41" s="5" t="s">
        <v>163</v>
      </c>
    </row>
    <row r="42" spans="1:9" x14ac:dyDescent="0.3">
      <c r="A42" s="2">
        <v>39</v>
      </c>
      <c r="B42" s="2" t="s">
        <v>148</v>
      </c>
      <c r="C42" s="3" t="s">
        <v>103</v>
      </c>
      <c r="D42" s="3" t="s">
        <v>103</v>
      </c>
      <c r="E42" s="3" t="s">
        <v>149</v>
      </c>
      <c r="F42" s="3" t="s">
        <v>34</v>
      </c>
      <c r="G42" s="3" t="s">
        <v>150</v>
      </c>
      <c r="H42" s="4" t="s">
        <v>151</v>
      </c>
      <c r="I42" s="5" t="s">
        <v>163</v>
      </c>
    </row>
    <row r="43" spans="1:9" x14ac:dyDescent="0.3">
      <c r="A43" s="2">
        <v>40</v>
      </c>
      <c r="B43" s="2" t="s">
        <v>152</v>
      </c>
      <c r="C43" s="3" t="s">
        <v>153</v>
      </c>
      <c r="D43" s="3" t="s">
        <v>154</v>
      </c>
      <c r="E43" s="3" t="s">
        <v>155</v>
      </c>
      <c r="F43" s="3" t="s">
        <v>34</v>
      </c>
      <c r="G43" s="3" t="s">
        <v>150</v>
      </c>
      <c r="H43" s="4" t="s">
        <v>151</v>
      </c>
      <c r="I43" s="5" t="s">
        <v>163</v>
      </c>
    </row>
    <row r="44" spans="1:9" x14ac:dyDescent="0.3">
      <c r="A44" s="2">
        <v>41</v>
      </c>
      <c r="B44" s="2" t="s">
        <v>156</v>
      </c>
      <c r="C44" s="3" t="s">
        <v>37</v>
      </c>
      <c r="D44" s="3" t="s">
        <v>37</v>
      </c>
      <c r="E44" s="3" t="s">
        <v>157</v>
      </c>
      <c r="F44" s="3" t="s">
        <v>34</v>
      </c>
      <c r="G44" s="3" t="s">
        <v>150</v>
      </c>
      <c r="H44" s="4" t="s">
        <v>151</v>
      </c>
      <c r="I44" s="5" t="s">
        <v>163</v>
      </c>
    </row>
    <row r="45" spans="1:9" x14ac:dyDescent="0.3">
      <c r="A45" s="2">
        <v>42</v>
      </c>
      <c r="B45" s="2" t="s">
        <v>158</v>
      </c>
      <c r="C45" s="3" t="s">
        <v>159</v>
      </c>
      <c r="D45" s="3" t="s">
        <v>160</v>
      </c>
      <c r="E45" s="3" t="s">
        <v>161</v>
      </c>
      <c r="F45" s="3" t="s">
        <v>13</v>
      </c>
      <c r="G45" s="3" t="s">
        <v>162</v>
      </c>
      <c r="H45" s="4">
        <v>46092</v>
      </c>
      <c r="I45" s="5" t="s">
        <v>163</v>
      </c>
    </row>
    <row r="47" spans="1:9" x14ac:dyDescent="0.3">
      <c r="E47" t="s">
        <v>13</v>
      </c>
      <c r="F47">
        <f>COUNTIF(F4:F45,E47)</f>
        <v>18</v>
      </c>
    </row>
    <row r="48" spans="1:9" x14ac:dyDescent="0.3">
      <c r="E48" t="s">
        <v>34</v>
      </c>
      <c r="F48">
        <f>COUNTIF(F4:F45,E48)</f>
        <v>17</v>
      </c>
    </row>
    <row r="49" spans="5:6" x14ac:dyDescent="0.3">
      <c r="E49" t="s">
        <v>43</v>
      </c>
      <c r="F49">
        <f>COUNTIF(F4:F45,E47)</f>
        <v>18</v>
      </c>
    </row>
  </sheetData>
  <autoFilter ref="B2:B45" xr:uid="{45F50C48-4C58-4A50-BBD8-329D4614A1F4}"/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 OBRERO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 Alonso Aguilar Hancco</cp:lastModifiedBy>
  <dcterms:created xsi:type="dcterms:W3CDTF">2026-03-24T19:54:51Z</dcterms:created>
  <dcterms:modified xsi:type="dcterms:W3CDTF">2026-04-06T18:54:12Z</dcterms:modified>
</cp:coreProperties>
</file>